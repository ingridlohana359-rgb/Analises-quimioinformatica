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dos Molecu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4332"/>
      <sz val="16"/>
    </font>
    <font>
      <name val="Segoe UI"/>
      <i val="1"/>
      <color rgb="00555555"/>
      <sz val="10"/>
    </font>
    <font>
      <name val="Segoe UI"/>
      <b val="1"/>
      <color rgb="002D6A4F"/>
      <sz val="10"/>
    </font>
    <font>
      <name val="Segoe UI"/>
      <b val="1"/>
      <color rgb="001B4332"/>
      <sz val="12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de Peso Molecular por Candidato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ln>
              <a:prstDash val="solid"/>
            </a:ln>
          </spPr>
          <cat>
            <numRef>
              <f>'Dashboard'!$B$12:$B$14</f>
            </numRef>
          </cat>
          <val>
            <numRef>
              <f>'Dashboard'!$C$12:$C$14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ID do Composto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 Molecular (g/mol)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9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9" customWidth="1" min="2" max="2"/>
    <col width="27" customWidth="1" min="3" max="3"/>
    <col width="27" customWidth="1" min="4" max="4"/>
    <col width="39" customWidth="1" min="5" max="5"/>
    <col width="12" customWidth="1" min="6" max="6"/>
    <col width="12" customWidth="1" min="7" max="7"/>
    <col width="39" customWidth="1" min="8" max="8"/>
    <col width="12" customWidth="1" min="9" max="9"/>
  </cols>
  <sheetData>
    <row r="1"/>
    <row r="2">
      <c r="B2" s="1" t="inlineStr">
        <is>
          <t>PAINEL EXECUTIVO: TRIAGEM VIRTUAL DE FÁRMACOS</t>
        </is>
      </c>
    </row>
    <row r="3">
      <c r="B3" s="2" t="inlineStr">
        <is>
          <t>Monitoramento de Propriedades Físico-Químicas baseadas na Regra de Lipinski</t>
        </is>
      </c>
    </row>
    <row r="4"/>
    <row r="5">
      <c r="B5" s="3" t="inlineStr">
        <is>
          <t>Total de Compostos</t>
        </is>
      </c>
      <c r="C5" s="4" t="n"/>
      <c r="E5" s="3" t="inlineStr">
        <is>
          <t>Peso Molecular Médio</t>
        </is>
      </c>
      <c r="F5" s="4" t="n"/>
      <c r="H5" s="3" t="inlineStr">
        <is>
          <t>LogP Médio</t>
        </is>
      </c>
      <c r="I5" s="4" t="n"/>
    </row>
    <row r="6">
      <c r="B6" s="5">
        <f>COUNTA('Dados Moleculares'!A2:A4)</f>
        <v/>
      </c>
      <c r="C6" s="4" t="n"/>
      <c r="E6" s="6">
        <f>AVERAGE('Dados Moleculares'!C2:C4)</f>
        <v/>
      </c>
      <c r="F6" s="4" t="n"/>
      <c r="H6" s="6">
        <f>AVERAGE('Dados Moleculares'!D2:D4)</f>
        <v/>
      </c>
      <c r="I6" s="4" t="n"/>
    </row>
    <row r="7">
      <c r="B7" s="4" t="n"/>
      <c r="C7" s="4" t="n"/>
      <c r="E7" s="4" t="n"/>
      <c r="F7" s="4" t="n"/>
      <c r="H7" s="4" t="n"/>
      <c r="I7" s="4" t="n"/>
    </row>
    <row r="8"/>
    <row r="9"/>
    <row r="10">
      <c r="B10" s="7" t="inlineStr">
        <is>
          <t>Resumo dos Candidatos Aprovados</t>
        </is>
      </c>
    </row>
    <row r="11">
      <c r="B11" s="8" t="inlineStr">
        <is>
          <t>ID</t>
        </is>
      </c>
      <c r="C11" s="8" t="inlineStr">
        <is>
          <t>Peso Molecular</t>
        </is>
      </c>
      <c r="D11" s="8" t="inlineStr">
        <is>
          <t>LogP</t>
        </is>
      </c>
      <c r="E11" s="8" t="inlineStr">
        <is>
          <t>Status</t>
        </is>
      </c>
    </row>
    <row r="12">
      <c r="B12" s="9">
        <f>'Dados Moleculares'!A2</f>
        <v/>
      </c>
      <c r="C12" s="10">
        <f>'Dados Moleculares'!C2</f>
        <v/>
      </c>
      <c r="D12" s="10">
        <f>'Dados Moleculares'!D2</f>
        <v/>
      </c>
      <c r="E12" s="9">
        <f>'Dados Moleculares'!G2</f>
        <v/>
      </c>
    </row>
    <row r="13">
      <c r="B13" s="9">
        <f>'Dados Moleculares'!A3</f>
        <v/>
      </c>
      <c r="C13" s="10">
        <f>'Dados Moleculares'!C3</f>
        <v/>
      </c>
      <c r="D13" s="10">
        <f>'Dados Moleculares'!D3</f>
        <v/>
      </c>
      <c r="E13" s="9">
        <f>'Dados Moleculares'!G3</f>
        <v/>
      </c>
    </row>
    <row r="14">
      <c r="B14" s="9">
        <f>'Dados Moleculares'!A4</f>
        <v/>
      </c>
      <c r="C14" s="10">
        <f>'Dados Moleculares'!C4</f>
        <v/>
      </c>
      <c r="D14" s="10">
        <f>'Dados Moleculares'!D4</f>
        <v/>
      </c>
      <c r="E14" s="9">
        <f>'Dados Moleculares'!G4</f>
        <v/>
      </c>
    </row>
  </sheetData>
  <mergeCells count="6">
    <mergeCell ref="E6:F7"/>
    <mergeCell ref="H6:I7"/>
    <mergeCell ref="B5:C5"/>
    <mergeCell ref="E5:F5"/>
    <mergeCell ref="B6:C7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26" customWidth="1" min="3" max="3"/>
    <col width="25" customWidth="1" min="4" max="4"/>
    <col width="14" customWidth="1" min="5" max="5"/>
    <col width="17" customWidth="1" min="6" max="6"/>
    <col width="19" customWidth="1" min="7" max="7"/>
  </cols>
  <sheetData>
    <row r="1">
      <c r="A1" s="11" t="inlineStr">
        <is>
          <t>ID da Molécula</t>
        </is>
      </c>
      <c r="B1" s="11" t="inlineStr">
        <is>
          <t>Estrutura SMILES</t>
        </is>
      </c>
      <c r="C1" s="11" t="inlineStr">
        <is>
          <t>Peso Molecular (g/mol)</t>
        </is>
      </c>
      <c r="D1" s="11" t="inlineStr">
        <is>
          <t>LogP (Lipofilicidade)</t>
        </is>
      </c>
      <c r="E1" s="11" t="inlineStr">
        <is>
          <t>Doadores H</t>
        </is>
      </c>
      <c r="F1" s="11" t="inlineStr">
        <is>
          <t>Aceitadores H</t>
        </is>
      </c>
      <c r="G1" s="11" t="inlineStr">
        <is>
          <t>Status Lipinski</t>
        </is>
      </c>
    </row>
    <row r="2">
      <c r="A2" s="9" t="inlineStr">
        <is>
          <t>PubChem_2244</t>
        </is>
      </c>
      <c r="B2" s="12" t="inlineStr">
        <is>
          <t>CC(=O)OC1=CC=CC=C1C(=O)O</t>
        </is>
      </c>
      <c r="C2" s="13" t="n">
        <v>180.159</v>
      </c>
      <c r="D2" s="13" t="n">
        <v>1.3101</v>
      </c>
      <c r="E2" s="14" t="n">
        <v>1</v>
      </c>
      <c r="F2" s="14" t="n">
        <v>3</v>
      </c>
      <c r="G2" s="9" t="inlineStr">
        <is>
          <t>Aprovado</t>
        </is>
      </c>
    </row>
    <row r="3">
      <c r="A3" s="9" t="inlineStr">
        <is>
          <t>PubChem_3672</t>
        </is>
      </c>
      <c r="B3" s="12" t="inlineStr">
        <is>
          <t>CC(C)CC1=CC=C(C=C1)C(C)C(=O)O</t>
        </is>
      </c>
      <c r="C3" s="13" t="n">
        <v>206.285</v>
      </c>
      <c r="D3" s="13" t="n">
        <v>3.073200000000001</v>
      </c>
      <c r="E3" s="14" t="n">
        <v>1</v>
      </c>
      <c r="F3" s="14" t="n">
        <v>1</v>
      </c>
      <c r="G3" s="9" t="inlineStr">
        <is>
          <t>Aprovado</t>
        </is>
      </c>
    </row>
    <row r="4">
      <c r="A4" s="9" t="inlineStr">
        <is>
          <t>PubChem_1983</t>
        </is>
      </c>
      <c r="B4" s="12" t="inlineStr">
        <is>
          <t>CC(=O)NC1=CC=C(O)C=C1</t>
        </is>
      </c>
      <c r="C4" s="13" t="n">
        <v>151.165</v>
      </c>
      <c r="D4" s="13" t="n">
        <v>1.3506</v>
      </c>
      <c r="E4" s="14" t="n">
        <v>2</v>
      </c>
      <c r="F4" s="14" t="n">
        <v>2</v>
      </c>
      <c r="G4" s="9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2026-10-02T13:24:10Z</dcterms:created>
  <dcterms:modified xsi:type="dcterms:W3CDTF">2026-10-02T13:24:10Z</dcterms:modified>
</cp:coreProperties>
</file>